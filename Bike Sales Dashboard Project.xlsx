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Learning\DA - Alex\Excel\"/>
    </mc:Choice>
  </mc:AlternateContent>
  <xr:revisionPtr revIDLastSave="0" documentId="13_ncr:1_{54A5E71C-4A5F-4A25-A276-592BE29707C1}" xr6:coauthVersionLast="47" xr6:coauthVersionMax="47" xr10:uidLastSave="{00000000-0000-0000-0000-000000000000}"/>
  <bookViews>
    <workbookView xWindow="-98" yWindow="-98" windowWidth="19396" windowHeight="11475"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<sst xmlns="http://schemas.openxmlformats.org/spreadsheetml/2006/main" count="16267" uniqueCount="51">
  <si>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</si>
  <si>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</si>
  <si>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</si>
  <si>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</si>
  <si>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</si>
  <si>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</si>
  <si>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</si>
  <si>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</si>
  <si>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</si>
  <si>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</si>
  <si>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</si>
  <si>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</si>
  <si>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</si>
  <si>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</si>
  <si>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</si>
  <si>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</si>
  <si>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</si>
  <si>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</si>
  <si>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</si>
  <si>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</si>
  <si>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</si>
  <si>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</si>
  <si>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</si>
  <si>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</si>
  <si>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</si>
  <si>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</si>
  <si>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</si>
  <si>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</si>
  <si>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</si>
  <si>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</si>
  <si>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</si>
  <si>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</si>
  <si>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</si>
  <si>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</si>
  <si>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</si>
  <si>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</si>
  <si>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</si>
  <si>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</si>
  <si>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</si>
  <si>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</si>
  <si>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</si>
  <si>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</si>
  <si>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</si>
  <si>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Column Labels</t>
  </si>
  <si>
    <t>Average of Income</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</si>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</sst>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19" fillId="33" borderId="0" xfId="0" applyFont="1" applyFill="1" applyAlignment="1">
      <alignment horizontal="center" vertical="center"/>
    </xf>
    <xf numFmtId="0" fontId="19" fillId="34"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a:t>
            </a:r>
            <a:r>
              <a:rPr lang="en-US"/>
              <a:t>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80833.333333333328</c:v>
                </c:pt>
                <c:pt idx="1">
                  <c:v>72500</c:v>
                </c:pt>
              </c:numCache>
            </c:numRef>
          </c:val>
          <c:extLst>
            <c:ext xmlns:c16="http://schemas.microsoft.com/office/drawing/2014/chart" uri="{C3380CC4-5D6E-409C-BE32-E72D297353CC}">
              <c16:uniqueId val="{00000000-8B7D-41F4-B108-618591524C3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60000</c:v>
                </c:pt>
                <c:pt idx="1">
                  <c:v>66500</c:v>
                </c:pt>
              </c:numCache>
            </c:numRef>
          </c:val>
          <c:extLst>
            <c:ext xmlns:c16="http://schemas.microsoft.com/office/drawing/2014/chart" uri="{C3380CC4-5D6E-409C-BE32-E72D297353CC}">
              <c16:uniqueId val="{00000001-8B7D-41F4-B108-618591524C38}"/>
            </c:ext>
          </c:extLst>
        </c:ser>
        <c:dLbls>
          <c:showLegendKey val="0"/>
          <c:showVal val="0"/>
          <c:showCatName val="0"/>
          <c:showSerName val="0"/>
          <c:showPercent val="0"/>
          <c:showBubbleSize val="0"/>
        </c:dLbls>
        <c:gapWidth val="219"/>
        <c:overlap val="-27"/>
        <c:axId val="177057455"/>
        <c:axId val="177063215"/>
      </c:barChart>
      <c:catAx>
        <c:axId val="17705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3215"/>
        <c:crosses val="autoZero"/>
        <c:auto val="1"/>
        <c:lblAlgn val="ctr"/>
        <c:lblOffset val="100"/>
        <c:noMultiLvlLbl val="0"/>
      </c:catAx>
      <c:valAx>
        <c:axId val="177063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57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AEE9-499E-8AED-92EEEE107618}"/>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AEE9-499E-8AED-92EEEE107618}"/>
            </c:ext>
          </c:extLst>
        </c:ser>
        <c:dLbls>
          <c:showLegendKey val="0"/>
          <c:showVal val="0"/>
          <c:showCatName val="0"/>
          <c:showSerName val="0"/>
          <c:showPercent val="0"/>
          <c:showBubbleSize val="0"/>
        </c:dLbls>
        <c:smooth val="0"/>
        <c:axId val="1524664351"/>
        <c:axId val="1524664831"/>
      </c:lineChart>
      <c:catAx>
        <c:axId val="1524664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664831"/>
        <c:crosses val="autoZero"/>
        <c:auto val="1"/>
        <c:lblAlgn val="ctr"/>
        <c:lblOffset val="100"/>
        <c:noMultiLvlLbl val="0"/>
      </c:catAx>
      <c:valAx>
        <c:axId val="152466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66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1">
                  <c:v>20</c:v>
                </c:pt>
              </c:numCache>
            </c:numRef>
          </c:val>
          <c:smooth val="0"/>
          <c:extLst>
            <c:ext xmlns:c16="http://schemas.microsoft.com/office/drawing/2014/chart" uri="{C3380CC4-5D6E-409C-BE32-E72D297353CC}">
              <c16:uniqueId val="{00000000-EA34-47E7-B8DF-D4AB55DFCAE2}"/>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3</c:v>
                </c:pt>
                <c:pt idx="1">
                  <c:v>24</c:v>
                </c:pt>
                <c:pt idx="2">
                  <c:v>4</c:v>
                </c:pt>
              </c:numCache>
            </c:numRef>
          </c:val>
          <c:smooth val="0"/>
          <c:extLst>
            <c:ext xmlns:c16="http://schemas.microsoft.com/office/drawing/2014/chart" uri="{C3380CC4-5D6E-409C-BE32-E72D297353CC}">
              <c16:uniqueId val="{00000001-EA34-47E7-B8DF-D4AB55DFCAE2}"/>
            </c:ext>
          </c:extLst>
        </c:ser>
        <c:dLbls>
          <c:showLegendKey val="0"/>
          <c:showVal val="0"/>
          <c:showCatName val="0"/>
          <c:showSerName val="0"/>
          <c:showPercent val="0"/>
          <c:showBubbleSize val="0"/>
        </c:dLbls>
        <c:marker val="1"/>
        <c:smooth val="0"/>
        <c:axId val="1578610767"/>
        <c:axId val="1821220831"/>
      </c:lineChart>
      <c:catAx>
        <c:axId val="157861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220831"/>
        <c:crosses val="autoZero"/>
        <c:auto val="1"/>
        <c:lblAlgn val="ctr"/>
        <c:lblOffset val="100"/>
        <c:noMultiLvlLbl val="0"/>
      </c:catAx>
      <c:valAx>
        <c:axId val="182122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61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a:t>
            </a:r>
            <a:r>
              <a:rPr lang="en-US"/>
              <a:t>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80833.333333333328</c:v>
                </c:pt>
                <c:pt idx="1">
                  <c:v>72500</c:v>
                </c:pt>
              </c:numCache>
            </c:numRef>
          </c:val>
          <c:extLst>
            <c:ext xmlns:c16="http://schemas.microsoft.com/office/drawing/2014/chart" uri="{C3380CC4-5D6E-409C-BE32-E72D297353CC}">
              <c16:uniqueId val="{00000000-F1AC-4819-A37E-DB34B98C003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60000</c:v>
                </c:pt>
                <c:pt idx="1">
                  <c:v>66500</c:v>
                </c:pt>
              </c:numCache>
            </c:numRef>
          </c:val>
          <c:extLst>
            <c:ext xmlns:c16="http://schemas.microsoft.com/office/drawing/2014/chart" uri="{C3380CC4-5D6E-409C-BE32-E72D297353CC}">
              <c16:uniqueId val="{00000001-F1AC-4819-A37E-DB34B98C0038}"/>
            </c:ext>
          </c:extLst>
        </c:ser>
        <c:dLbls>
          <c:showLegendKey val="0"/>
          <c:showVal val="0"/>
          <c:showCatName val="0"/>
          <c:showSerName val="0"/>
          <c:showPercent val="0"/>
          <c:showBubbleSize val="0"/>
        </c:dLbls>
        <c:gapWidth val="219"/>
        <c:overlap val="-27"/>
        <c:axId val="177057455"/>
        <c:axId val="177063215"/>
      </c:barChart>
      <c:catAx>
        <c:axId val="17705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3215"/>
        <c:crosses val="autoZero"/>
        <c:auto val="1"/>
        <c:lblAlgn val="ctr"/>
        <c:lblOffset val="100"/>
        <c:noMultiLvlLbl val="0"/>
      </c:catAx>
      <c:valAx>
        <c:axId val="177063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57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[07-Excel Project Dataset.xlsx]Pivot Table!PivotTable2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695D-42B3-A1DE-F9493F706234}"/>
            </c:ext>
          </c:extLst>
        </c:ser>
        <c:ser>
          <c:idx val="1"/>
          <c:order val="1"/>
          <c:tx>
            <c:strRef>
              <c:f>'Pivot Table'!$C$25:$C$26</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695D-42B3-A1DE-F9493F70623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24664351"/>
        <c:axId val="1524664831"/>
      </c:lineChart>
      <c:catAx>
        <c:axId val="15246643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24664831"/>
        <c:crosses val="autoZero"/>
        <c:auto val="1"/>
        <c:lblAlgn val="ctr"/>
        <c:lblOffset val="100"/>
        <c:noMultiLvlLbl val="0"/>
      </c:catAx>
      <c:valAx>
        <c:axId val="152466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2466435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1">
                  <c:v>20</c:v>
                </c:pt>
              </c:numCache>
            </c:numRef>
          </c:val>
          <c:smooth val="0"/>
          <c:extLst>
            <c:ext xmlns:c16="http://schemas.microsoft.com/office/drawing/2014/chart" uri="{C3380CC4-5D6E-409C-BE32-E72D297353CC}">
              <c16:uniqueId val="{00000000-BDF0-49B0-9A09-F669CFAD289B}"/>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3</c:v>
                </c:pt>
                <c:pt idx="1">
                  <c:v>24</c:v>
                </c:pt>
                <c:pt idx="2">
                  <c:v>4</c:v>
                </c:pt>
              </c:numCache>
            </c:numRef>
          </c:val>
          <c:smooth val="0"/>
          <c:extLst>
            <c:ext xmlns:c16="http://schemas.microsoft.com/office/drawing/2014/chart" uri="{C3380CC4-5D6E-409C-BE32-E72D297353CC}">
              <c16:uniqueId val="{00000001-BDF0-49B0-9A09-F669CFAD289B}"/>
            </c:ext>
          </c:extLst>
        </c:ser>
        <c:dLbls>
          <c:showLegendKey val="0"/>
          <c:showVal val="0"/>
          <c:showCatName val="0"/>
          <c:showSerName val="0"/>
          <c:showPercent val="0"/>
          <c:showBubbleSize val="0"/>
        </c:dLbls>
        <c:marker val="1"/>
        <c:smooth val="0"/>
        <c:axId val="1578610767"/>
        <c:axId val="1821220831"/>
      </c:lineChart>
      <c:catAx>
        <c:axId val="157861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220831"/>
        <c:crosses val="autoZero"/>
        <c:auto val="1"/>
        <c:lblAlgn val="ctr"/>
        <c:lblOffset val="100"/>
        <c:noMultiLvlLbl val="0"/>
      </c:catAx>
      <c:valAx>
        <c:axId val="182122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61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639496</xdr:colOff>
      <xdr:row>1</xdr:row>
      <xdr:rowOff>174095</xdr:rowOff>
    </xdr:from>
    <xdr:to>
      <xdr:col>12</xdr:col>
      <xdr:colOff>32013</xdr:colOff>
      <xdr:row>17</xdr:row>
      <xdr:rowOff>22754</xdr:rowOff>
    </xdr:to>
    <xdr:graphicFrame macro="">
      <xdr:nvGraphicFramePr>
        <xdr:cNvPr id="2" name="Chart 1">
          <a:extLst>
            <a:ext uri="{FF2B5EF4-FFF2-40B4-BE49-F238E27FC236}">
              <a16:creationId xmlns:a16="http://schemas.microsoft.com/office/drawing/2014/main" id="{F64B6643-B090-82A8-2FC4-12D13C7C7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18521</xdr:colOff>
      <xdr:row>24</xdr:row>
      <xdr:rowOff>4233</xdr:rowOff>
    </xdr:from>
    <xdr:to>
      <xdr:col>12</xdr:col>
      <xdr:colOff>71438</xdr:colOff>
      <xdr:row>39</xdr:row>
      <xdr:rowOff>48683</xdr:rowOff>
    </xdr:to>
    <xdr:graphicFrame macro="">
      <xdr:nvGraphicFramePr>
        <xdr:cNvPr id="3" name="Chart 2">
          <a:extLst>
            <a:ext uri="{FF2B5EF4-FFF2-40B4-BE49-F238E27FC236}">
              <a16:creationId xmlns:a16="http://schemas.microsoft.com/office/drawing/2014/main" id="{C3CA4CB7-C592-CD96-58BA-07527D908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7937</xdr:colOff>
      <xdr:row>46</xdr:row>
      <xdr:rowOff>4233</xdr:rowOff>
    </xdr:from>
    <xdr:to>
      <xdr:col>12</xdr:col>
      <xdr:colOff>60854</xdr:colOff>
      <xdr:row>61</xdr:row>
      <xdr:rowOff>48683</xdr:rowOff>
    </xdr:to>
    <xdr:graphicFrame macro="">
      <xdr:nvGraphicFramePr>
        <xdr:cNvPr id="5" name="Chart 4">
          <a:extLst>
            <a:ext uri="{FF2B5EF4-FFF2-40B4-BE49-F238E27FC236}">
              <a16:creationId xmlns:a16="http://schemas.microsoft.com/office/drawing/2014/main" id="{71EAF315-F3D5-BA3A-FE38-BCD1EDEBC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355999</xdr:colOff>
      <xdr:row>4</xdr:row>
      <xdr:rowOff>5953</xdr:rowOff>
    </xdr:from>
    <xdr:to>
      <xdr:col>8</xdr:col>
      <xdr:colOff>35719</xdr:colOff>
      <xdr:row>17</xdr:row>
      <xdr:rowOff>5952</xdr:rowOff>
    </xdr:to>
    <xdr:graphicFrame macro="">
      <xdr:nvGraphicFramePr>
        <xdr:cNvPr id="2" name="Chart 1">
          <a:extLst>
            <a:ext uri="{FF2B5EF4-FFF2-40B4-BE49-F238E27FC236}">
              <a16:creationId xmlns:a16="http://schemas.microsoft.com/office/drawing/2014/main" id="{C4B12836-4541-4557-A48A-004D959AB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351235</xdr:colOff>
      <xdr:row>17</xdr:row>
      <xdr:rowOff>49610</xdr:rowOff>
    </xdr:from>
    <xdr:to>
      <xdr:col>13</xdr:col>
      <xdr:colOff>625077</xdr:colOff>
      <xdr:row>32</xdr:row>
      <xdr:rowOff>76863</xdr:rowOff>
    </xdr:to>
    <xdr:graphicFrame macro="">
      <xdr:nvGraphicFramePr>
        <xdr:cNvPr id="3" name="Chart 2">
          <a:extLst>
            <a:ext uri="{FF2B5EF4-FFF2-40B4-BE49-F238E27FC236}">
              <a16:creationId xmlns:a16="http://schemas.microsoft.com/office/drawing/2014/main" id="{762F0C54-EA1B-4255-BB91-7E2B4B079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89297</xdr:colOff>
      <xdr:row>4</xdr:row>
      <xdr:rowOff>4762</xdr:rowOff>
    </xdr:from>
    <xdr:to>
      <xdr:col>13</xdr:col>
      <xdr:colOff>634603</xdr:colOff>
      <xdr:row>17</xdr:row>
      <xdr:rowOff>5953</xdr:rowOff>
    </xdr:to>
    <xdr:graphicFrame macro="">
      <xdr:nvGraphicFramePr>
        <xdr:cNvPr id="4" name="Chart 3">
          <a:extLst>
            <a:ext uri="{FF2B5EF4-FFF2-40B4-BE49-F238E27FC236}">
              <a16:creationId xmlns:a16="http://schemas.microsoft.com/office/drawing/2014/main" id="{E16C9DCE-0406-4A9F-85B4-F97D3143C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5670</xdr:rowOff>
    </xdr:from>
    <xdr:to>
      <xdr:col>2</xdr:col>
      <xdr:colOff>273844</xdr:colOff>
      <xdr:row>9</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0EADC57-F72A-5A7C-44E8-5310BBEBCFF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20045"/>
              <a:ext cx="1571625" cy="88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57831</xdr:rowOff>
    </xdr:from>
    <xdr:to>
      <xdr:col>2</xdr:col>
      <xdr:colOff>267891</xdr:colOff>
      <xdr:row>26</xdr:row>
      <xdr:rowOff>36287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1BE5248-F922-4969-C98B-9C4C3433D23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2915331"/>
              <a:ext cx="1565671" cy="1764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62365</xdr:rowOff>
    </xdr:from>
    <xdr:to>
      <xdr:col>2</xdr:col>
      <xdr:colOff>285750</xdr:colOff>
      <xdr:row>15</xdr:row>
      <xdr:rowOff>149678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DB29F4F-F5CB-09BA-9EF0-FDAD33ECC9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69709"/>
              <a:ext cx="1583531" cy="115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Singh" refreshedDate="46055.888673958332" createdVersion="8" refreshedVersion="8" minRefreshableVersion="3" recordCount="1000" xr:uid="{95BD7B04-5F3E-4B0D-A1AA-EB5EC4BB5EE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82354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E6A1F6-EFC6-4E2F-A85D-F5AFBE7BEE4D}"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7:D52"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F9B699-5157-4ADF-9F5B-DDF5503B19F2}"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D32"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0C015-D3F6-4A11-8379-B2419D9E1397}"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1DE6709-4EFA-4831-94D9-E55D2785C9AD}" sourceName="Marital Status">
  <pivotTables>
    <pivotTable tabId="3" name="PivotTable1"/>
    <pivotTable tabId="3" name="PivotTable2"/>
    <pivotTable tabId="3" name="PivotTable3"/>
  </pivotTables>
  <data>
    <tabular pivotCacheId="78235450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B796D69-5041-407A-A565-B941A261D354}" sourceName="Education">
  <pivotTables>
    <pivotTable tabId="3" name="PivotTable1"/>
    <pivotTable tabId="3" name="PivotTable2"/>
    <pivotTable tabId="3" name="PivotTable3"/>
  </pivotTables>
  <data>
    <tabular pivotCacheId="78235450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B99F6A-BB38-4FB0-AE81-5AF9FF26FC28}" sourceName="Region">
  <pivotTables>
    <pivotTable tabId="3" name="PivotTable1"/>
    <pivotTable tabId="3" name="PivotTable2"/>
    <pivotTable tabId="3" name="PivotTable3"/>
  </pivotTables>
  <data>
    <tabular pivotCacheId="78235450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9669A87-12E5-4A7D-92D3-B25C9F827808}" cache="Slicer_Marital_Status" caption="Marital Status" rowHeight="241300"/>
  <slicer name="Education" xr10:uid="{EF980025-D879-4C83-97B4-BCF29648DDBA}" cache="Slicer_Education" caption="Education" rowHeight="241300"/>
  <slicer name="Region" xr10:uid="{AE6BFDD4-04AB-460E-AC4F-E227676874B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B1048576"/>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214BD-51CE-4B6D-8559-C8F952E9C1C6}">
  <dimension ref="A1:N1001"/>
  <sheetViews>
    <sheetView workbookViewId="0">
      <selection activeCell="J13" sqref="J13"/>
    </sheetView>
  </sheetViews>
  <sheetFormatPr defaultColWidth="11.86328125" defaultRowHeight="14.25" x14ac:dyDescent="0.45"/>
  <cols>
    <col min="4" max="4" width="11.86328125" style="1"/>
    <col min="14" max="14" width="15.46484375" customWidth="1"/>
  </cols>
  <sheetData>
    <row r="1" spans="1:14" x14ac:dyDescent="0.45">
      <c r="A1" t="s">
        <v>0</v>
      </c>
      <c r="B1" t="s">
        <v>1</v>
      </c>
      <c r="C1" t="s">
        <v>2</v>
      </c>
      <c r="D1" s="1" t="s">
        <v>3</v>
      </c>
      <c r="E1" t="s">
        <v>4</v>
      </c>
      <c r="F1" t="s">
        <v>5</v>
      </c>
      <c r="G1" t="s">
        <v>6</v>
      </c>
      <c r="H1" t="s">
        <v>7</v>
      </c>
      <c r="I1" t="s">
        <v>8</v>
      </c>
      <c r="J1" t="s">
        <v>9</v>
      </c>
      <c r="K1" t="s">
        <v>10</v>
      </c>
      <c r="L1" t="s">
        <v>11</v>
      </c>
      <c r="M1" t="s">
        <v>40</v>
      </c>
      <c r="N1" t="s">
        <v>12</v>
      </c>
    </row>
    <row r="2" spans="1:14" x14ac:dyDescent="0.45">
      <c r="A2">
        <v>12496</v>
      </c>
      <c r="B2" t="s">
        <v>36</v>
      </c>
      <c r="C2" t="s">
        <v>39</v>
      </c>
      <c r="D2" s="1">
        <v>40000</v>
      </c>
      <c r="E2">
        <v>1</v>
      </c>
      <c r="F2" t="s">
        <v>13</v>
      </c>
      <c r="G2" t="s">
        <v>14</v>
      </c>
      <c r="H2" t="s">
        <v>15</v>
      </c>
      <c r="I2">
        <v>0</v>
      </c>
      <c r="J2" t="s">
        <v>16</v>
      </c>
      <c r="K2" t="s">
        <v>17</v>
      </c>
      <c r="L2">
        <v>42</v>
      </c>
      <c r="M2" t="str">
        <f>IF(L2&gt;54,"Old", IF(L2&gt;=31,"Middle Age", IF(L2&lt;31,"Adolescent", "Invalid")))</f>
        <v>Middle Age</v>
      </c>
      <c r="N2" t="s">
        <v>18</v>
      </c>
    </row>
    <row r="3" spans="1:14" x14ac:dyDescent="0.45">
      <c r="A3">
        <v>24107</v>
      </c>
      <c r="B3" t="s">
        <v>36</v>
      </c>
      <c r="C3" t="s">
        <v>38</v>
      </c>
      <c r="D3" s="1">
        <v>30000</v>
      </c>
      <c r="E3">
        <v>3</v>
      </c>
      <c r="F3" t="s">
        <v>19</v>
      </c>
      <c r="G3" t="s">
        <v>20</v>
      </c>
      <c r="H3" t="s">
        <v>15</v>
      </c>
      <c r="I3">
        <v>1</v>
      </c>
      <c r="J3" t="s">
        <v>16</v>
      </c>
      <c r="K3" t="s">
        <v>17</v>
      </c>
      <c r="L3">
        <v>43</v>
      </c>
      <c r="M3" t="str">
        <f t="shared" ref="M3:M66" si="0">IF(L3&gt;54,"Old", IF(L3&gt;=31,"Middle Age", IF(L3&lt;31,"Adolescent", "Invalid")))</f>
        <v>Middle Age</v>
      </c>
      <c r="N3" t="s">
        <v>18</v>
      </c>
    </row>
    <row r="4" spans="1:14" x14ac:dyDescent="0.45">
      <c r="A4">
        <v>14177</v>
      </c>
      <c r="B4" t="s">
        <v>36</v>
      </c>
      <c r="C4" t="s">
        <v>38</v>
      </c>
      <c r="D4" s="1">
        <v>80000</v>
      </c>
      <c r="E4">
        <v>5</v>
      </c>
      <c r="F4" t="s">
        <v>19</v>
      </c>
      <c r="G4" t="s">
        <v>21</v>
      </c>
      <c r="H4" t="s">
        <v>18</v>
      </c>
      <c r="I4">
        <v>2</v>
      </c>
      <c r="J4" t="s">
        <v>22</v>
      </c>
      <c r="K4" t="s">
        <v>17</v>
      </c>
      <c r="L4">
        <v>60</v>
      </c>
      <c r="M4" t="str">
        <f t="shared" si="0"/>
        <v>Old</v>
      </c>
      <c r="N4" t="s">
        <v>18</v>
      </c>
    </row>
    <row r="5" spans="1:14" x14ac:dyDescent="0.45">
      <c r="A5">
        <v>24381</v>
      </c>
      <c r="B5" t="s">
        <v>37</v>
      </c>
      <c r="C5" t="s">
        <v>38</v>
      </c>
      <c r="D5" s="1">
        <v>70000</v>
      </c>
      <c r="E5">
        <v>0</v>
      </c>
      <c r="F5" t="s">
        <v>13</v>
      </c>
      <c r="G5" t="s">
        <v>21</v>
      </c>
      <c r="H5" t="s">
        <v>15</v>
      </c>
      <c r="I5">
        <v>1</v>
      </c>
      <c r="J5" t="s">
        <v>23</v>
      </c>
      <c r="K5" t="s">
        <v>24</v>
      </c>
      <c r="L5">
        <v>41</v>
      </c>
      <c r="M5" t="str">
        <f t="shared" si="0"/>
        <v>Middle Age</v>
      </c>
      <c r="N5" t="s">
        <v>15</v>
      </c>
    </row>
    <row r="6" spans="1:14" x14ac:dyDescent="0.45">
      <c r="A6">
        <v>25597</v>
      </c>
      <c r="B6" t="s">
        <v>37</v>
      </c>
      <c r="C6" t="s">
        <v>38</v>
      </c>
      <c r="D6" s="1">
        <v>30000</v>
      </c>
      <c r="E6">
        <v>0</v>
      </c>
      <c r="F6" t="s">
        <v>13</v>
      </c>
      <c r="G6" t="s">
        <v>20</v>
      </c>
      <c r="H6" t="s">
        <v>18</v>
      </c>
      <c r="I6">
        <v>0</v>
      </c>
      <c r="J6" t="s">
        <v>16</v>
      </c>
      <c r="K6" t="s">
        <v>17</v>
      </c>
      <c r="L6">
        <v>36</v>
      </c>
      <c r="M6" t="str">
        <f t="shared" si="0"/>
        <v>Middle Age</v>
      </c>
      <c r="N6" t="s">
        <v>15</v>
      </c>
    </row>
    <row r="7" spans="1:14" x14ac:dyDescent="0.45">
      <c r="A7">
        <v>13507</v>
      </c>
      <c r="B7" t="s">
        <v>36</v>
      </c>
      <c r="C7" t="s">
        <v>39</v>
      </c>
      <c r="D7" s="1">
        <v>10000</v>
      </c>
      <c r="E7">
        <v>2</v>
      </c>
      <c r="F7" t="s">
        <v>19</v>
      </c>
      <c r="G7" t="s">
        <v>25</v>
      </c>
      <c r="H7" t="s">
        <v>15</v>
      </c>
      <c r="I7">
        <v>0</v>
      </c>
      <c r="J7" t="s">
        <v>26</v>
      </c>
      <c r="K7" t="s">
        <v>17</v>
      </c>
      <c r="L7">
        <v>50</v>
      </c>
      <c r="M7" t="str">
        <f t="shared" si="0"/>
        <v>Middle Age</v>
      </c>
      <c r="N7" t="s">
        <v>18</v>
      </c>
    </row>
    <row r="8" spans="1:14" x14ac:dyDescent="0.45">
      <c r="A8">
        <v>27974</v>
      </c>
      <c r="B8" t="s">
        <v>37</v>
      </c>
      <c r="C8" t="s">
        <v>38</v>
      </c>
      <c r="D8" s="1">
        <v>160000</v>
      </c>
      <c r="E8">
        <v>2</v>
      </c>
      <c r="F8" t="s">
        <v>27</v>
      </c>
      <c r="G8" t="s">
        <v>28</v>
      </c>
      <c r="H8" t="s">
        <v>15</v>
      </c>
      <c r="I8">
        <v>4</v>
      </c>
      <c r="J8" t="s">
        <v>16</v>
      </c>
      <c r="K8" t="s">
        <v>24</v>
      </c>
      <c r="L8">
        <v>33</v>
      </c>
      <c r="M8" t="str">
        <f t="shared" si="0"/>
        <v>Middle Age</v>
      </c>
      <c r="N8" t="s">
        <v>15</v>
      </c>
    </row>
    <row r="9" spans="1:14" x14ac:dyDescent="0.45">
      <c r="A9">
        <v>19364</v>
      </c>
      <c r="B9" t="s">
        <v>36</v>
      </c>
      <c r="C9" t="s">
        <v>38</v>
      </c>
      <c r="D9" s="1">
        <v>40000</v>
      </c>
      <c r="E9">
        <v>1</v>
      </c>
      <c r="F9" t="s">
        <v>13</v>
      </c>
      <c r="G9" t="s">
        <v>14</v>
      </c>
      <c r="H9" t="s">
        <v>15</v>
      </c>
      <c r="I9">
        <v>0</v>
      </c>
      <c r="J9" t="s">
        <v>16</v>
      </c>
      <c r="K9" t="s">
        <v>17</v>
      </c>
      <c r="L9">
        <v>43</v>
      </c>
      <c r="M9" t="str">
        <f t="shared" si="0"/>
        <v>Middle Age</v>
      </c>
      <c r="N9" t="s">
        <v>15</v>
      </c>
    </row>
    <row r="10" spans="1:14" x14ac:dyDescent="0.4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4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4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4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4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4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4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4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4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4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4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4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4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4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4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4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4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4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4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4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4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4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4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4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4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4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4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4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4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4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4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4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4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4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4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4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4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4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4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4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4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4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4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4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4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4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4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4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4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4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4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4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4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4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45">
      <c r="A67">
        <v>29337</v>
      </c>
      <c r="B67" t="s">
        <v>37</v>
      </c>
      <c r="C67" t="s">
        <v>38</v>
      </c>
      <c r="D67" s="1">
        <v>30000</v>
      </c>
      <c r="E67">
        <v>2</v>
      </c>
      <c r="F67" t="s">
        <v>19</v>
      </c>
      <c r="G67" t="s">
        <v>20</v>
      </c>
      <c r="H67" t="s">
        <v>15</v>
      </c>
      <c r="I67">
        <v>2</v>
      </c>
      <c r="J67" t="s">
        <v>23</v>
      </c>
      <c r="K67" t="s">
        <v>24</v>
      </c>
      <c r="L67">
        <v>68</v>
      </c>
      <c r="M67" t="str">
        <f t="shared" ref="M67:M130" si="1">IF(L67&gt;54,"Old", IF(L67&gt;=31,"Middle Age", IF(L67&lt;31,"Adolescent", "Invalid")))</f>
        <v>Old</v>
      </c>
      <c r="N67" t="s">
        <v>18</v>
      </c>
    </row>
    <row r="68" spans="1:14" x14ac:dyDescent="0.4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4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4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4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4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4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4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4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4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4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4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4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4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4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4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4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4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4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4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4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4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4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4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4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4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4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4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4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4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4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4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4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4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4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45">
      <c r="A131">
        <v>26818</v>
      </c>
      <c r="B131" t="s">
        <v>37</v>
      </c>
      <c r="C131" t="s">
        <v>38</v>
      </c>
      <c r="D131" s="1">
        <v>10000</v>
      </c>
      <c r="E131">
        <v>3</v>
      </c>
      <c r="F131" t="s">
        <v>27</v>
      </c>
      <c r="G131" t="s">
        <v>25</v>
      </c>
      <c r="H131" t="s">
        <v>15</v>
      </c>
      <c r="I131">
        <v>1</v>
      </c>
      <c r="J131" t="s">
        <v>16</v>
      </c>
      <c r="K131" t="s">
        <v>17</v>
      </c>
      <c r="L131">
        <v>39</v>
      </c>
      <c r="M131" t="str">
        <f t="shared" ref="M131:M194" si="2">IF(L131&gt;54,"Old", IF(L131&gt;=31,"Middle Age", IF(L131&lt;31,"Adolescent", "Invalid")))</f>
        <v>Middle Age</v>
      </c>
      <c r="N131" t="s">
        <v>15</v>
      </c>
    </row>
    <row r="132" spans="1:14" x14ac:dyDescent="0.4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4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4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4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4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4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4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4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4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4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4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45">
      <c r="A195">
        <v>26032</v>
      </c>
      <c r="B195" t="s">
        <v>36</v>
      </c>
      <c r="C195" t="s">
        <v>39</v>
      </c>
      <c r="D195" s="1">
        <v>70000</v>
      </c>
      <c r="E195">
        <v>5</v>
      </c>
      <c r="F195" t="s">
        <v>13</v>
      </c>
      <c r="G195" t="s">
        <v>21</v>
      </c>
      <c r="H195" t="s">
        <v>15</v>
      </c>
      <c r="I195">
        <v>4</v>
      </c>
      <c r="J195" t="s">
        <v>46</v>
      </c>
      <c r="K195" t="s">
        <v>24</v>
      </c>
      <c r="L195">
        <v>41</v>
      </c>
      <c r="M195" t="str">
        <f t="shared" ref="M195:M258" si="3">IF(L195&gt;54,"Old", IF(L195&gt;=31,"Middle Age", IF(L195&lt;31,"Adolescent", "Invalid")))</f>
        <v>Middle Age</v>
      </c>
      <c r="N195" t="s">
        <v>18</v>
      </c>
    </row>
    <row r="196" spans="1:14" x14ac:dyDescent="0.4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4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4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4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4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4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4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4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4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4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4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4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4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4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4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45">
      <c r="A259">
        <v>14164</v>
      </c>
      <c r="B259" t="s">
        <v>37</v>
      </c>
      <c r="C259" t="s">
        <v>39</v>
      </c>
      <c r="D259" s="1">
        <v>50000</v>
      </c>
      <c r="E259">
        <v>0</v>
      </c>
      <c r="F259" t="s">
        <v>31</v>
      </c>
      <c r="G259" t="s">
        <v>14</v>
      </c>
      <c r="H259" t="s">
        <v>15</v>
      </c>
      <c r="I259">
        <v>0</v>
      </c>
      <c r="J259" t="s">
        <v>16</v>
      </c>
      <c r="K259" t="s">
        <v>17</v>
      </c>
      <c r="L259">
        <v>36</v>
      </c>
      <c r="M259" t="str">
        <f t="shared" ref="M259:M322" si="4">IF(L259&gt;54,"Old", IF(L259&gt;=31,"Middle Age", IF(L259&lt;31,"Adolescent", "Invalid")))</f>
        <v>Middle Age</v>
      </c>
      <c r="N259" t="s">
        <v>15</v>
      </c>
    </row>
    <row r="260" spans="1:14" x14ac:dyDescent="0.4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4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4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4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4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4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4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4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4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4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4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45">
      <c r="A323">
        <v>16675</v>
      </c>
      <c r="B323" t="s">
        <v>37</v>
      </c>
      <c r="C323" t="s">
        <v>39</v>
      </c>
      <c r="D323" s="1">
        <v>160000</v>
      </c>
      <c r="E323">
        <v>0</v>
      </c>
      <c r="F323" t="s">
        <v>31</v>
      </c>
      <c r="G323" t="s">
        <v>28</v>
      </c>
      <c r="H323" t="s">
        <v>18</v>
      </c>
      <c r="I323">
        <v>3</v>
      </c>
      <c r="J323" t="s">
        <v>16</v>
      </c>
      <c r="K323" t="s">
        <v>24</v>
      </c>
      <c r="L323">
        <v>47</v>
      </c>
      <c r="M323" t="str">
        <f t="shared" ref="M323:M386" si="5">IF(L323&gt;54,"Old", IF(L323&gt;=31,"Middle Age", IF(L323&lt;31,"Adolescent", "Invalid")))</f>
        <v>Middle Age</v>
      </c>
      <c r="N323" t="s">
        <v>15</v>
      </c>
    </row>
    <row r="324" spans="1:14" x14ac:dyDescent="0.4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4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4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4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4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4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4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4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4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4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4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4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4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45">
      <c r="A387">
        <v>18018</v>
      </c>
      <c r="B387" t="s">
        <v>37</v>
      </c>
      <c r="C387" t="s">
        <v>38</v>
      </c>
      <c r="D387" s="1">
        <v>30000</v>
      </c>
      <c r="E387">
        <v>3</v>
      </c>
      <c r="F387" t="s">
        <v>19</v>
      </c>
      <c r="G387" t="s">
        <v>20</v>
      </c>
      <c r="H387" t="s">
        <v>15</v>
      </c>
      <c r="I387">
        <v>0</v>
      </c>
      <c r="J387" t="s">
        <v>16</v>
      </c>
      <c r="K387" t="s">
        <v>17</v>
      </c>
      <c r="L387">
        <v>43</v>
      </c>
      <c r="M387" t="str">
        <f t="shared" ref="M387:M450" si="6">IF(L387&gt;54,"Old", IF(L387&gt;=31,"Middle Age", IF(L387&lt;31,"Adolescent", "Invalid")))</f>
        <v>Middle Age</v>
      </c>
      <c r="N387" t="s">
        <v>18</v>
      </c>
    </row>
    <row r="388" spans="1:14" x14ac:dyDescent="0.4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4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4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4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4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4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4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4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4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4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4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4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4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4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4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4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45">
      <c r="A451">
        <v>12497</v>
      </c>
      <c r="B451" t="s">
        <v>36</v>
      </c>
      <c r="C451" t="s">
        <v>39</v>
      </c>
      <c r="D451" s="1">
        <v>40000</v>
      </c>
      <c r="E451">
        <v>1</v>
      </c>
      <c r="F451" t="s">
        <v>13</v>
      </c>
      <c r="G451" t="s">
        <v>14</v>
      </c>
      <c r="H451" t="s">
        <v>15</v>
      </c>
      <c r="I451">
        <v>0</v>
      </c>
      <c r="J451" t="s">
        <v>16</v>
      </c>
      <c r="K451" t="s">
        <v>17</v>
      </c>
      <c r="L451">
        <v>42</v>
      </c>
      <c r="M451" t="str">
        <f t="shared" ref="M451:M514" si="7">IF(L451&gt;54,"Old", IF(L451&gt;=31,"Middle Age", IF(L451&lt;31,"Adolescent", "Invalid")))</f>
        <v>Middle Age</v>
      </c>
      <c r="N451" t="s">
        <v>18</v>
      </c>
    </row>
    <row r="452" spans="1:14" x14ac:dyDescent="0.4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4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4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4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4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4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4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4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4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45">
      <c r="A515">
        <v>13353</v>
      </c>
      <c r="B515" t="s">
        <v>37</v>
      </c>
      <c r="C515" t="s">
        <v>39</v>
      </c>
      <c r="D515" s="1">
        <v>60000</v>
      </c>
      <c r="E515">
        <v>4</v>
      </c>
      <c r="F515" t="s">
        <v>31</v>
      </c>
      <c r="G515" t="s">
        <v>28</v>
      </c>
      <c r="H515" t="s">
        <v>15</v>
      </c>
      <c r="I515">
        <v>2</v>
      </c>
      <c r="J515" t="s">
        <v>46</v>
      </c>
      <c r="K515" t="s">
        <v>32</v>
      </c>
      <c r="L515">
        <v>61</v>
      </c>
      <c r="M515" t="str">
        <f t="shared" ref="M515:M578" si="8">IF(L515&gt;54,"Old", IF(L515&gt;=31,"Middle Age", IF(L515&lt;31,"Adolescent", "Invalid")))</f>
        <v>Old</v>
      </c>
      <c r="N515" t="s">
        <v>15</v>
      </c>
    </row>
    <row r="516" spans="1:14" x14ac:dyDescent="0.4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4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4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4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4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4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4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4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4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4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4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4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4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4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4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4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45">
      <c r="A579">
        <v>16917</v>
      </c>
      <c r="B579" t="s">
        <v>36</v>
      </c>
      <c r="C579" t="s">
        <v>38</v>
      </c>
      <c r="D579" s="1">
        <v>120000</v>
      </c>
      <c r="E579">
        <v>1</v>
      </c>
      <c r="F579" t="s">
        <v>13</v>
      </c>
      <c r="G579" t="s">
        <v>28</v>
      </c>
      <c r="H579" t="s">
        <v>15</v>
      </c>
      <c r="I579">
        <v>4</v>
      </c>
      <c r="J579" t="s">
        <v>16</v>
      </c>
      <c r="K579" t="s">
        <v>32</v>
      </c>
      <c r="L579">
        <v>38</v>
      </c>
      <c r="M579" t="str">
        <f t="shared" ref="M579:M642" si="9">IF(L579&gt;54,"Old", IF(L579&gt;=31,"Middle Age", IF(L579&lt;31,"Adolescent", "Invalid")))</f>
        <v>Middle Age</v>
      </c>
      <c r="N579" t="s">
        <v>18</v>
      </c>
    </row>
    <row r="580" spans="1:14" x14ac:dyDescent="0.4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4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4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4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4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4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4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4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4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4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4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4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38</v>
      </c>
      <c r="D643" s="1">
        <v>50000</v>
      </c>
      <c r="E643">
        <v>4</v>
      </c>
      <c r="F643" t="s">
        <v>13</v>
      </c>
      <c r="G643" t="s">
        <v>28</v>
      </c>
      <c r="H643" t="s">
        <v>15</v>
      </c>
      <c r="I643">
        <v>2</v>
      </c>
      <c r="J643" t="s">
        <v>46</v>
      </c>
      <c r="K643" t="s">
        <v>32</v>
      </c>
      <c r="L643">
        <v>64</v>
      </c>
      <c r="M643" t="str">
        <f t="shared" ref="M643:M706" si="10">IF(L643&gt;54,"Old", IF(L643&gt;=31,"Middle Age", IF(L643&lt;31,"Adolescent", "Invalid")))</f>
        <v>Old</v>
      </c>
      <c r="N643" t="s">
        <v>18</v>
      </c>
    </row>
    <row r="644" spans="1:14" x14ac:dyDescent="0.4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4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4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4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4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4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4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4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4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4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45">
      <c r="A707">
        <v>11199</v>
      </c>
      <c r="B707" t="s">
        <v>36</v>
      </c>
      <c r="C707" t="s">
        <v>39</v>
      </c>
      <c r="D707" s="1">
        <v>70000</v>
      </c>
      <c r="E707">
        <v>4</v>
      </c>
      <c r="F707" t="s">
        <v>13</v>
      </c>
      <c r="G707" t="s">
        <v>28</v>
      </c>
      <c r="H707" t="s">
        <v>15</v>
      </c>
      <c r="I707">
        <v>1</v>
      </c>
      <c r="J707" t="s">
        <v>46</v>
      </c>
      <c r="K707" t="s">
        <v>32</v>
      </c>
      <c r="L707">
        <v>59</v>
      </c>
      <c r="M707" t="str">
        <f t="shared" ref="M707:M770" si="11">IF(L707&gt;54,"Old", IF(L707&gt;=31,"Middle Age", IF(L707&lt;31,"Adolescent", "Invalid")))</f>
        <v>Old</v>
      </c>
      <c r="N707" t="s">
        <v>18</v>
      </c>
    </row>
    <row r="708" spans="1:14" x14ac:dyDescent="0.4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4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4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4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4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4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4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4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4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4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4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4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4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45">
      <c r="A771">
        <v>18952</v>
      </c>
      <c r="B771" t="s">
        <v>36</v>
      </c>
      <c r="C771" t="s">
        <v>39</v>
      </c>
      <c r="D771" s="1">
        <v>100000</v>
      </c>
      <c r="E771">
        <v>4</v>
      </c>
      <c r="F771" t="s">
        <v>13</v>
      </c>
      <c r="G771" t="s">
        <v>28</v>
      </c>
      <c r="H771" t="s">
        <v>15</v>
      </c>
      <c r="I771">
        <v>4</v>
      </c>
      <c r="J771" t="s">
        <v>16</v>
      </c>
      <c r="K771" t="s">
        <v>32</v>
      </c>
      <c r="L771">
        <v>40</v>
      </c>
      <c r="M771" t="str">
        <f t="shared" ref="M771:M834" si="12">IF(L771&gt;54,"Old", IF(L771&gt;=31,"Middle Age", IF(L771&lt;31,"Adolescent", "Invalid")))</f>
        <v>Middle Age</v>
      </c>
      <c r="N771" t="s">
        <v>18</v>
      </c>
    </row>
    <row r="772" spans="1:14" x14ac:dyDescent="0.4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4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4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4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4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4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4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4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4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4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4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4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4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45">
      <c r="A835">
        <v>27540</v>
      </c>
      <c r="B835" t="s">
        <v>37</v>
      </c>
      <c r="C835" t="s">
        <v>39</v>
      </c>
      <c r="D835" s="1">
        <v>70000</v>
      </c>
      <c r="E835">
        <v>0</v>
      </c>
      <c r="F835" t="s">
        <v>13</v>
      </c>
      <c r="G835" t="s">
        <v>21</v>
      </c>
      <c r="H835" t="s">
        <v>18</v>
      </c>
      <c r="I835">
        <v>1</v>
      </c>
      <c r="J835" t="s">
        <v>16</v>
      </c>
      <c r="K835" t="s">
        <v>32</v>
      </c>
      <c r="L835">
        <v>37</v>
      </c>
      <c r="M835" t="str">
        <f t="shared" ref="M835:M898" si="13">IF(L835&gt;54,"Old", IF(L835&gt;=31,"Middle Age", IF(L835&lt;31,"Adolescent", "Invalid")))</f>
        <v>Middle Age</v>
      </c>
      <c r="N835" t="s">
        <v>15</v>
      </c>
    </row>
    <row r="836" spans="1:14" x14ac:dyDescent="0.4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4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4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4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4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4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4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4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4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4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4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45">
      <c r="A899">
        <v>12029</v>
      </c>
      <c r="B899" t="s">
        <v>36</v>
      </c>
      <c r="C899" t="s">
        <v>38</v>
      </c>
      <c r="D899" s="1">
        <v>30000</v>
      </c>
      <c r="E899">
        <v>0</v>
      </c>
      <c r="F899" t="s">
        <v>29</v>
      </c>
      <c r="G899" t="s">
        <v>20</v>
      </c>
      <c r="H899" t="s">
        <v>18</v>
      </c>
      <c r="I899">
        <v>2</v>
      </c>
      <c r="J899" t="s">
        <v>16</v>
      </c>
      <c r="K899" t="s">
        <v>32</v>
      </c>
      <c r="L899">
        <v>28</v>
      </c>
      <c r="M899" t="str">
        <f t="shared" ref="M899:M962" si="14">IF(L899&gt;54,"Old", IF(L899&gt;=31,"Middle Age", IF(L899&lt;31,"Adolescent", "Invalid")))</f>
        <v>Adolescent</v>
      </c>
      <c r="N899" t="s">
        <v>18</v>
      </c>
    </row>
    <row r="900" spans="1:14" x14ac:dyDescent="0.4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4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4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4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4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4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4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4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4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4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4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4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4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45">
      <c r="A963">
        <v>16651</v>
      </c>
      <c r="B963" t="s">
        <v>36</v>
      </c>
      <c r="C963" t="s">
        <v>39</v>
      </c>
      <c r="D963" s="1">
        <v>120000</v>
      </c>
      <c r="E963">
        <v>2</v>
      </c>
      <c r="F963" t="s">
        <v>13</v>
      </c>
      <c r="G963" t="s">
        <v>28</v>
      </c>
      <c r="H963" t="s">
        <v>15</v>
      </c>
      <c r="I963">
        <v>3</v>
      </c>
      <c r="J963" t="s">
        <v>23</v>
      </c>
      <c r="K963" t="s">
        <v>32</v>
      </c>
      <c r="L963">
        <v>62</v>
      </c>
      <c r="M963" t="str">
        <f t="shared" ref="M963:M1001" si="15">IF(L963&gt;54,"Old", IF(L963&gt;=31,"Middle Age", IF(L963&lt;31,"Adolescent", "Invalid")))</f>
        <v>Old</v>
      </c>
      <c r="N963" t="s">
        <v>18</v>
      </c>
    </row>
    <row r="964" spans="1:14" x14ac:dyDescent="0.4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4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4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4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4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4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4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4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4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4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4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4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4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 xr:uid="{4F0214BD-51CE-4B6D-8559-C8F952E9C1C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C9EA-666D-4884-8F40-8174CB99CF46}">
  <dimension ref="A3:D52"/>
  <sheetViews>
    <sheetView topLeftCell="A45" zoomScale="90" zoomScaleNormal="90" workbookViewId="0">
      <selection activeCell="A47" sqref="A47"/>
    </sheetView>
  </sheetViews>
  <sheetFormatPr defaultRowHeight="14.25" x14ac:dyDescent="0.45"/>
  <cols>
    <col min="1" max="1" width="20.6640625" bestFit="1" customWidth="1"/>
    <col min="2" max="2" width="14.86328125" bestFit="1" customWidth="1"/>
    <col min="3" max="3" width="3.53125" bestFit="1" customWidth="1"/>
    <col min="4" max="4" width="10.265625" bestFit="1" customWidth="1"/>
  </cols>
  <sheetData>
    <row r="3" spans="1:4" x14ac:dyDescent="0.45">
      <c r="A3" s="3" t="s">
        <v>44</v>
      </c>
      <c r="B3" s="3" t="s">
        <v>43</v>
      </c>
    </row>
    <row r="4" spans="1:4" x14ac:dyDescent="0.45">
      <c r="A4" s="3" t="s">
        <v>41</v>
      </c>
      <c r="B4" t="s">
        <v>18</v>
      </c>
      <c r="C4" t="s">
        <v>15</v>
      </c>
      <c r="D4" t="s">
        <v>42</v>
      </c>
    </row>
    <row r="5" spans="1:4" x14ac:dyDescent="0.45">
      <c r="A5" s="4" t="s">
        <v>39</v>
      </c>
      <c r="B5" s="6">
        <v>80833.333333333328</v>
      </c>
      <c r="C5" s="6">
        <v>60000</v>
      </c>
      <c r="D5" s="6">
        <v>70869.565217391311</v>
      </c>
    </row>
    <row r="6" spans="1:4" x14ac:dyDescent="0.45">
      <c r="A6" s="4" t="s">
        <v>38</v>
      </c>
      <c r="B6" s="6">
        <v>72500</v>
      </c>
      <c r="C6" s="6">
        <v>66500</v>
      </c>
      <c r="D6" s="6">
        <v>68214.28571428571</v>
      </c>
    </row>
    <row r="7" spans="1:4" x14ac:dyDescent="0.45">
      <c r="A7" s="4" t="s">
        <v>42</v>
      </c>
      <c r="B7" s="6">
        <v>77500</v>
      </c>
      <c r="C7" s="6">
        <v>64193.548387096773</v>
      </c>
      <c r="D7" s="6">
        <v>69411.76470588235</v>
      </c>
    </row>
    <row r="25" spans="1:4" x14ac:dyDescent="0.45">
      <c r="A25" s="3" t="s">
        <v>45</v>
      </c>
      <c r="B25" s="3" t="s">
        <v>43</v>
      </c>
    </row>
    <row r="26" spans="1:4" x14ac:dyDescent="0.45">
      <c r="A26" s="3" t="s">
        <v>41</v>
      </c>
      <c r="B26" t="s">
        <v>18</v>
      </c>
      <c r="C26" t="s">
        <v>15</v>
      </c>
      <c r="D26" t="s">
        <v>42</v>
      </c>
    </row>
    <row r="27" spans="1:4" x14ac:dyDescent="0.45">
      <c r="A27" s="4" t="s">
        <v>16</v>
      </c>
      <c r="B27" s="5">
        <v>1</v>
      </c>
      <c r="C27" s="5">
        <v>10</v>
      </c>
      <c r="D27" s="5">
        <v>11</v>
      </c>
    </row>
    <row r="28" spans="1:4" x14ac:dyDescent="0.45">
      <c r="A28" s="4" t="s">
        <v>26</v>
      </c>
      <c r="B28" s="5">
        <v>1</v>
      </c>
      <c r="C28" s="5"/>
      <c r="D28" s="5">
        <v>1</v>
      </c>
    </row>
    <row r="29" spans="1:4" x14ac:dyDescent="0.45">
      <c r="A29" s="4" t="s">
        <v>22</v>
      </c>
      <c r="B29" s="5">
        <v>3</v>
      </c>
      <c r="C29" s="5">
        <v>3</v>
      </c>
      <c r="D29" s="5">
        <v>6</v>
      </c>
    </row>
    <row r="30" spans="1:4" x14ac:dyDescent="0.45">
      <c r="A30" s="4" t="s">
        <v>23</v>
      </c>
      <c r="B30" s="5">
        <v>5</v>
      </c>
      <c r="C30" s="5">
        <v>13</v>
      </c>
      <c r="D30" s="5">
        <v>18</v>
      </c>
    </row>
    <row r="31" spans="1:4" x14ac:dyDescent="0.45">
      <c r="A31" s="4" t="s">
        <v>46</v>
      </c>
      <c r="B31" s="5">
        <v>10</v>
      </c>
      <c r="C31" s="5">
        <v>5</v>
      </c>
      <c r="D31" s="5">
        <v>15</v>
      </c>
    </row>
    <row r="32" spans="1:4" x14ac:dyDescent="0.45">
      <c r="A32" s="4" t="s">
        <v>42</v>
      </c>
      <c r="B32" s="5">
        <v>20</v>
      </c>
      <c r="C32" s="5">
        <v>31</v>
      </c>
      <c r="D32" s="5">
        <v>51</v>
      </c>
    </row>
    <row r="47" spans="1:4" x14ac:dyDescent="0.45">
      <c r="A47" s="3" t="s">
        <v>45</v>
      </c>
      <c r="B47" s="3" t="s">
        <v>43</v>
      </c>
    </row>
    <row r="48" spans="1:4" x14ac:dyDescent="0.45">
      <c r="A48" s="3" t="s">
        <v>41</v>
      </c>
      <c r="B48" t="s">
        <v>18</v>
      </c>
      <c r="C48" t="s">
        <v>15</v>
      </c>
      <c r="D48" t="s">
        <v>42</v>
      </c>
    </row>
    <row r="49" spans="1:4" x14ac:dyDescent="0.45">
      <c r="A49" s="4" t="s">
        <v>47</v>
      </c>
      <c r="B49" s="5"/>
      <c r="C49" s="5">
        <v>3</v>
      </c>
      <c r="D49" s="5">
        <v>3</v>
      </c>
    </row>
    <row r="50" spans="1:4" x14ac:dyDescent="0.45">
      <c r="A50" s="4" t="s">
        <v>48</v>
      </c>
      <c r="B50" s="5">
        <v>20</v>
      </c>
      <c r="C50" s="5">
        <v>24</v>
      </c>
      <c r="D50" s="5">
        <v>44</v>
      </c>
    </row>
    <row r="51" spans="1:4" x14ac:dyDescent="0.45">
      <c r="A51" s="4" t="s">
        <v>49</v>
      </c>
      <c r="B51" s="5"/>
      <c r="C51" s="5">
        <v>4</v>
      </c>
      <c r="D51" s="5">
        <v>4</v>
      </c>
    </row>
    <row r="52" spans="1:4" x14ac:dyDescent="0.45">
      <c r="A52" s="4" t="s">
        <v>42</v>
      </c>
      <c r="B52" s="5">
        <v>20</v>
      </c>
      <c r="C52" s="5">
        <v>31</v>
      </c>
      <c r="D52" s="5">
        <v>51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EA9B-4C3C-4FD9-B514-A7C515E9E63A}">
  <dimension ref="A1:O4"/>
  <sheetViews>
    <sheetView showGridLines="0" tabSelected="1" zoomScale="80" zoomScaleNormal="80" workbookViewId="0">
      <selection activeCell="P12" sqref="P12"/>
    </sheetView>
  </sheetViews>
  <sheetFormatPr defaultRowHeight="14.25" x14ac:dyDescent="0.45"/>
  <sheetData>
    <row r="1" spans="1:15" ht="14.25" customHeight="1" x14ac:dyDescent="1.05">
      <c r="A1" s="7" t="s">
        <v>50</v>
      </c>
      <c r="B1" s="7"/>
      <c r="C1" s="7"/>
      <c r="D1" s="7"/>
      <c r="E1" s="7"/>
      <c r="F1" s="7"/>
      <c r="G1" s="7"/>
      <c r="H1" s="7"/>
      <c r="I1" s="7"/>
      <c r="J1" s="7"/>
      <c r="K1" s="7"/>
      <c r="L1" s="7"/>
      <c r="M1" s="7"/>
      <c r="N1" s="7"/>
      <c r="O1" s="8"/>
    </row>
    <row r="2" spans="1:15" ht="14.25" customHeight="1" x14ac:dyDescent="1.05">
      <c r="A2" s="7"/>
      <c r="B2" s="7"/>
      <c r="C2" s="7"/>
      <c r="D2" s="7"/>
      <c r="E2" s="7"/>
      <c r="F2" s="7"/>
      <c r="G2" s="7"/>
      <c r="H2" s="7"/>
      <c r="I2" s="7"/>
      <c r="J2" s="7"/>
      <c r="K2" s="7"/>
      <c r="L2" s="7"/>
      <c r="M2" s="7"/>
      <c r="N2" s="7"/>
      <c r="O2" s="8"/>
    </row>
    <row r="3" spans="1:15" ht="14.25" customHeight="1" x14ac:dyDescent="1.05">
      <c r="A3" s="7"/>
      <c r="B3" s="7"/>
      <c r="C3" s="7"/>
      <c r="D3" s="7"/>
      <c r="E3" s="7"/>
      <c r="F3" s="7"/>
      <c r="G3" s="7"/>
      <c r="H3" s="7"/>
      <c r="I3" s="7"/>
      <c r="J3" s="7"/>
      <c r="K3" s="7"/>
      <c r="L3" s="7"/>
      <c r="M3" s="7"/>
      <c r="N3" s="7"/>
      <c r="O3" s="8"/>
    </row>
    <row r="4" spans="1:15" ht="14.25" customHeight="1" x14ac:dyDescent="1.05">
      <c r="A4" s="7"/>
      <c r="B4" s="7"/>
      <c r="C4" s="7"/>
      <c r="D4" s="7"/>
      <c r="E4" s="7"/>
      <c r="F4" s="7"/>
      <c r="G4" s="7"/>
      <c r="H4" s="7"/>
      <c r="I4" s="7"/>
      <c r="J4" s="7"/>
      <c r="K4" s="7"/>
      <c r="L4" s="7"/>
      <c r="M4" s="7"/>
      <c r="N4" s="7"/>
      <c r="O4" s="8"/>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Anushka Singh</cp:lastModifiedBy>
  <dcterms:created xsi:type="dcterms:W3CDTF">2022-03-18T02:50:57Z</dcterms:created>
  <dcterms:modified xsi:type="dcterms:W3CDTF">2026-02-02T16:42:19Z</dcterms:modified>
</cp:coreProperties>
</file>